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guevara/Desktop/TCME 2026/"/>
    </mc:Choice>
  </mc:AlternateContent>
  <xr:revisionPtr revIDLastSave="0" documentId="13_ncr:1_{12B29AA8-8307-D04B-BFA3-256A9361AFF5}" xr6:coauthVersionLast="47" xr6:coauthVersionMax="47" xr10:uidLastSave="{00000000-0000-0000-0000-000000000000}"/>
  <bookViews>
    <workbookView xWindow="19360" yWindow="600" windowWidth="35680" windowHeight="20800" xr2:uid="{95D2BB23-F687-594A-8E89-976D4B265AB9}"/>
  </bookViews>
  <sheets>
    <sheet name="Retaceo" sheetId="2" r:id="rId1"/>
    <sheet name="Da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I18" i="2" s="1"/>
  <c r="F18" i="2"/>
  <c r="G17" i="2"/>
  <c r="G18" i="2"/>
  <c r="G16" i="2"/>
  <c r="G15" i="2"/>
  <c r="H16" i="2"/>
  <c r="H17" i="2"/>
  <c r="F16" i="2"/>
  <c r="F17" i="2"/>
  <c r="D19" i="2"/>
  <c r="E19" i="2"/>
  <c r="H15" i="2"/>
  <c r="F15" i="2"/>
  <c r="L22" i="1"/>
  <c r="I2" i="1"/>
  <c r="D8" i="1"/>
  <c r="I17" i="2" l="1"/>
  <c r="I16" i="2"/>
  <c r="H19" i="2"/>
  <c r="H14" i="2" s="1"/>
  <c r="G19" i="2"/>
  <c r="G14" i="2" s="1"/>
  <c r="I15" i="2"/>
  <c r="F19" i="2"/>
  <c r="F14" i="2" s="1"/>
  <c r="I1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tc={8DD87A37-3B49-894B-BBDC-6BB5C0153604}</author>
  </authors>
  <commentList>
    <comment ref="H2" authorId="0" shapeId="0" xr:uid="{8DD87A37-3B49-894B-BBDC-6BB5C0153604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Cost, Insurance, and Freight</t>
      </text>
    </comment>
  </commentList>
</comments>
</file>

<file path=xl/sharedStrings.xml><?xml version="1.0" encoding="utf-8"?>
<sst xmlns="http://schemas.openxmlformats.org/spreadsheetml/2006/main" count="54" uniqueCount="50">
  <si>
    <t xml:space="preserve"> Derecho Arancelarios de Importación (DAI)</t>
  </si>
  <si>
    <t>IVA</t>
  </si>
  <si>
    <t>Flete maritimo</t>
  </si>
  <si>
    <t>Desembolso para compra (FOB - Free On Board)</t>
  </si>
  <si>
    <t>Honorarios aduanales</t>
  </si>
  <si>
    <t>Fotocopias</t>
  </si>
  <si>
    <t>Gasolina</t>
  </si>
  <si>
    <t>Seguro</t>
  </si>
  <si>
    <t>IVA importacion</t>
  </si>
  <si>
    <t>CIF</t>
  </si>
  <si>
    <t>Almacenamiento</t>
  </si>
  <si>
    <t>Viaticos</t>
  </si>
  <si>
    <t>Custodia</t>
  </si>
  <si>
    <t>Transporte</t>
  </si>
  <si>
    <t>Descarga</t>
  </si>
  <si>
    <t>Recarga</t>
  </si>
  <si>
    <t>Otros</t>
  </si>
  <si>
    <t>Fecha</t>
  </si>
  <si>
    <t>Banco</t>
  </si>
  <si>
    <t>IVA Credito Fiscal</t>
  </si>
  <si>
    <t>Pedidos en transito</t>
  </si>
  <si>
    <t>Inventario</t>
  </si>
  <si>
    <t>Valor</t>
  </si>
  <si>
    <t>Bitacora de pedido</t>
  </si>
  <si>
    <t>Item</t>
  </si>
  <si>
    <t>Codigo Retaceo</t>
  </si>
  <si>
    <t>Proveedor</t>
  </si>
  <si>
    <t>Pais Origen</t>
  </si>
  <si>
    <t>Alemania</t>
  </si>
  <si>
    <t>Damlier</t>
  </si>
  <si>
    <t>RTC-00233</t>
  </si>
  <si>
    <t>Descripcion</t>
  </si>
  <si>
    <t>Codigo</t>
  </si>
  <si>
    <t>Cantidad</t>
  </si>
  <si>
    <t>Flete</t>
  </si>
  <si>
    <t>Gastos</t>
  </si>
  <si>
    <t>DAI</t>
  </si>
  <si>
    <t>Costo FOB</t>
  </si>
  <si>
    <t>FOB</t>
  </si>
  <si>
    <t>No.</t>
  </si>
  <si>
    <t>Factura Importacion</t>
  </si>
  <si>
    <t>Poliza Importacion</t>
  </si>
  <si>
    <t>655-SERT</t>
  </si>
  <si>
    <t>Prensadora</t>
  </si>
  <si>
    <t>Detalles</t>
  </si>
  <si>
    <t>Total</t>
  </si>
  <si>
    <t>RETACEO
Es la actividad de distribuir proporcionalmente todos los gastos incurridos en el proceso de importación de una mercadería o materia prima y asignarlos al costo total del producto o insumo y el cual servirá como referencia en la introducción de los inventarios de la empresa que los importa.
Para determinar cuál será el costo que vamos a utilizar para efectos de inventario, es necesario tomar en cuenta los siguientes documentos.</t>
  </si>
  <si>
    <t>Costo Unitario</t>
  </si>
  <si>
    <t>Camion</t>
  </si>
  <si>
    <t>76sg-TOY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</si>
</sst>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FFF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  <fill>
      <patternFill patternType="solid">
        <fgColor rgb="FF104861"/>
        <bgColor rgb="FF104861"/>
      </patternFill>
    </fill>
    <fill>
      <patternFill patternType="solid">
        <fgColor rgb="FF156082"/>
        <bgColor rgb="FF156082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4" tint="-0.249977111117893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n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8">
    <xf numFmtId="0" fontId="0" fillId="0" borderId="0" xfId="0"/>
    <xf numFmtId="14" fontId="0" fillId="0" borderId="0" xfId="0" applyNumberFormat="1"/>
    <xf numFmtId="44" fontId="0" fillId="0" borderId="0" xfId="1" applyFont="1"/>
    <xf numFmtId="0" fontId="3" fillId="4" borderId="0" xfId="0" applyFont="1" applyFill="1"/>
    <xf numFmtId="0" fontId="3" fillId="5" borderId="0" xfId="0" applyFont="1" applyFill="1"/>
    <xf numFmtId="14" fontId="3" fillId="5" borderId="0" xfId="0" applyNumberFormat="1" applyFont="1" applyFill="1"/>
    <xf numFmtId="14" fontId="3" fillId="4" borderId="0" xfId="0" applyNumberFormat="1" applyFont="1" applyFill="1"/>
    <xf numFmtId="44" fontId="3" fillId="4" borderId="0" xfId="1" applyFont="1" applyFill="1"/>
    <xf numFmtId="44" fontId="3" fillId="5" borderId="0" xfId="1" applyFont="1" applyFill="1"/>
    <xf numFmtId="14" fontId="4" fillId="6" borderId="2" xfId="0" applyNumberFormat="1" applyFont="1" applyFill="1" applyBorder="1"/>
    <xf numFmtId="14" fontId="4" fillId="7" borderId="3" xfId="0" applyNumberFormat="1" applyFont="1" applyFill="1" applyBorder="1"/>
    <xf numFmtId="14" fontId="4" fillId="6" borderId="3" xfId="0" applyNumberFormat="1" applyFont="1" applyFill="1" applyBorder="1"/>
    <xf numFmtId="44" fontId="4" fillId="6" borderId="2" xfId="0" applyNumberFormat="1" applyFont="1" applyFill="1" applyBorder="1"/>
    <xf numFmtId="9" fontId="3" fillId="5" borderId="0" xfId="2" applyFont="1" applyFill="1"/>
    <xf numFmtId="0" fontId="0" fillId="0" borderId="0" xfId="0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8" borderId="7" xfId="0" applyFont="1" applyFill="1" applyBorder="1"/>
    <xf numFmtId="0" fontId="3" fillId="9" borderId="7" xfId="0" applyFont="1" applyFill="1" applyBorder="1"/>
    <xf numFmtId="44" fontId="3" fillId="9" borderId="7" xfId="1" applyFont="1" applyFill="1" applyBorder="1"/>
    <xf numFmtId="44" fontId="3" fillId="10" borderId="7" xfId="0" applyNumberFormat="1" applyFont="1" applyFill="1" applyBorder="1"/>
    <xf numFmtId="0" fontId="3" fillId="10" borderId="7" xfId="0" applyFont="1" applyFill="1" applyBorder="1"/>
    <xf numFmtId="44" fontId="3" fillId="10" borderId="7" xfId="1" applyFont="1" applyFill="1" applyBorder="1"/>
    <xf numFmtId="14" fontId="3" fillId="10" borderId="7" xfId="0" applyNumberFormat="1" applyFont="1" applyFill="1" applyBorder="1"/>
    <xf numFmtId="14" fontId="3" fillId="10" borderId="7" xfId="0" applyNumberFormat="1" applyFont="1" applyFill="1" applyBorder="1" applyAlignment="1">
      <alignment horizontal="right"/>
    </xf>
    <xf numFmtId="0" fontId="3" fillId="11" borderId="7" xfId="0" applyFont="1" applyFill="1" applyBorder="1"/>
    <xf numFmtId="0" fontId="3" fillId="12" borderId="7" xfId="0" applyFont="1" applyFill="1" applyBorder="1"/>
    <xf numFmtId="0" fontId="3" fillId="12" borderId="7" xfId="0" applyFont="1" applyFill="1" applyBorder="1" applyAlignment="1">
      <alignment horizontal="right"/>
    </xf>
    <xf numFmtId="0" fontId="3" fillId="12" borderId="7" xfId="1" applyNumberFormat="1" applyFont="1" applyFill="1" applyBorder="1"/>
    <xf numFmtId="44" fontId="3" fillId="12" borderId="7" xfId="0" applyNumberFormat="1" applyFont="1" applyFill="1" applyBorder="1"/>
    <xf numFmtId="44" fontId="0" fillId="12" borderId="0" xfId="1" applyFont="1" applyFill="1"/>
    <xf numFmtId="44" fontId="3" fillId="13" borderId="0" xfId="1" applyFont="1" applyFill="1"/>
    <xf numFmtId="0" fontId="3" fillId="9" borderId="7" xfId="3" applyFont="1" applyFill="1" applyBorder="1" applyAlignment="1">
      <alignment horizontal="center" wrapText="1"/>
    </xf>
    <xf numFmtId="0" fontId="3" fillId="12" borderId="8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12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4">
    <cellStyle name="40% - Accent2" xfId="3" builtinId="35"/>
    <cellStyle name="Currency" xfId="1" builtinId="4"/>
    <cellStyle name="Normal" xfId="0" builtinId="0"/>
    <cellStyle name="Percent" xfId="2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9" formatCode="d/m/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ime Guevara" id="{FC73D672-ABEA-0044-8127-8FB051CD9379}" userId="a97ee56e0586fda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477ED-B33D-0A4A-9B13-504A1A6BEA34}" name="Table1" displayName="Table1" ref="B3:D18" totalsRowShown="0" headerRowDxfId="2">
  <tableColumns count="3">
    <tableColumn id="1" xr3:uid="{4D7F6734-5451-C64B-890B-8890A656C46E}" name="Fecha" dataDxfId="1"/>
    <tableColumn id="2" xr3:uid="{58D4DA34-D354-DE47-8C9E-2E3A3545D360}" name="Item"/>
    <tableColumn id="3" xr3:uid="{55A854AD-7494-8E46-A7BE-DB2989B23522}" name="Valor" dataDxfId="0" dataCellStyle="Currency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9-07T21:59:20.91" personId="{FC73D672-ABEA-0044-8127-8FB051CD9379}" id="{8DD87A37-3B49-894B-BBDC-6BB5C0153604}">
    <text>Cost, Insurance, and Freight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A6E6-1375-DB40-8C3C-1BD971D773F3}">
  <dimension ref="A1:K26"/>
  <sheetViews>
    <sheetView tabSelected="1" zoomScale="190" zoomScaleNormal="190" workbookViewId="0">
      <selection activeCell="C20" sqref="C20"/>
    </sheetView>
  </sheetViews>
  <sheetFormatPr baseColWidth="10" defaultRowHeight="16" x14ac:dyDescent="0.2"/>
  <cols>
    <col min="2" max="2" width="14" bestFit="1" customWidth="1"/>
    <col min="3" max="3" width="28.6640625" customWidth="1"/>
    <col min="5" max="6" width="14.33203125" customWidth="1"/>
    <col min="7" max="7" width="14.5" customWidth="1"/>
    <col min="8" max="8" width="11.6640625" customWidth="1"/>
    <col min="9" max="9" width="12.5" customWidth="1"/>
  </cols>
  <sheetData>
    <row r="1" spans="1:11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">
      <c r="A2" s="18"/>
      <c r="B2" s="33" t="s">
        <v>46</v>
      </c>
      <c r="C2" s="33"/>
      <c r="D2" s="33"/>
      <c r="E2" s="18"/>
      <c r="F2" s="27" t="s">
        <v>25</v>
      </c>
      <c r="G2" s="22" t="s">
        <v>30</v>
      </c>
      <c r="H2" s="27" t="s">
        <v>26</v>
      </c>
      <c r="I2" s="22" t="s">
        <v>29</v>
      </c>
      <c r="J2" s="18"/>
      <c r="K2" s="18"/>
    </row>
    <row r="3" spans="1:11" ht="16" customHeight="1" x14ac:dyDescent="0.2">
      <c r="A3" s="18"/>
      <c r="B3" s="33"/>
      <c r="C3" s="33"/>
      <c r="D3" s="33"/>
      <c r="E3" s="18"/>
      <c r="F3" s="27" t="s">
        <v>17</v>
      </c>
      <c r="G3" s="25">
        <v>45917</v>
      </c>
      <c r="H3" s="27" t="s">
        <v>27</v>
      </c>
      <c r="I3" s="22" t="s">
        <v>28</v>
      </c>
      <c r="J3" s="18"/>
      <c r="K3" s="18"/>
    </row>
    <row r="4" spans="1:11" ht="16" customHeight="1" x14ac:dyDescent="0.2">
      <c r="A4" s="18"/>
      <c r="B4" s="33"/>
      <c r="C4" s="33"/>
      <c r="D4" s="33"/>
      <c r="E4" s="18"/>
      <c r="F4" s="18"/>
      <c r="G4" s="18"/>
      <c r="H4" s="18"/>
      <c r="I4" s="18"/>
      <c r="J4" s="18"/>
      <c r="K4" s="18"/>
    </row>
    <row r="5" spans="1:11" x14ac:dyDescent="0.2">
      <c r="A5" s="18"/>
      <c r="B5" s="33"/>
      <c r="C5" s="33"/>
      <c r="D5" s="33"/>
      <c r="E5" s="18"/>
      <c r="F5" s="34" t="s">
        <v>40</v>
      </c>
      <c r="G5" s="35"/>
      <c r="H5" s="34" t="s">
        <v>41</v>
      </c>
      <c r="I5" s="35"/>
      <c r="J5" s="18"/>
      <c r="K5" s="18"/>
    </row>
    <row r="6" spans="1:11" x14ac:dyDescent="0.2">
      <c r="A6" s="18"/>
      <c r="B6" s="33"/>
      <c r="C6" s="33"/>
      <c r="D6" s="33"/>
      <c r="E6" s="18"/>
      <c r="F6" s="27" t="s">
        <v>39</v>
      </c>
      <c r="G6" s="22">
        <v>122</v>
      </c>
      <c r="H6" s="27" t="s">
        <v>39</v>
      </c>
      <c r="I6" s="22">
        <v>6778</v>
      </c>
      <c r="J6" s="18"/>
      <c r="K6" s="18"/>
    </row>
    <row r="7" spans="1:11" x14ac:dyDescent="0.2">
      <c r="A7" s="18"/>
      <c r="B7" s="33"/>
      <c r="C7" s="33"/>
      <c r="D7" s="33"/>
      <c r="E7" s="18"/>
      <c r="F7" s="27" t="s">
        <v>17</v>
      </c>
      <c r="G7" s="24">
        <v>45839</v>
      </c>
      <c r="H7" s="27" t="s">
        <v>17</v>
      </c>
      <c r="I7" s="24">
        <v>45912</v>
      </c>
      <c r="J7" s="18"/>
      <c r="K7" s="18"/>
    </row>
    <row r="8" spans="1:11" x14ac:dyDescent="0.2">
      <c r="A8" s="18"/>
      <c r="B8" s="33"/>
      <c r="C8" s="33"/>
      <c r="D8" s="33"/>
      <c r="E8" s="18"/>
      <c r="F8" s="18"/>
      <c r="G8" s="18"/>
      <c r="H8" s="18"/>
      <c r="I8" s="18"/>
      <c r="J8" s="18"/>
      <c r="K8" s="18"/>
    </row>
    <row r="9" spans="1:11" x14ac:dyDescent="0.2">
      <c r="A9" s="18"/>
      <c r="B9" s="33"/>
      <c r="C9" s="33"/>
      <c r="D9" s="33"/>
      <c r="E9" s="18"/>
      <c r="F9" s="34" t="s">
        <v>44</v>
      </c>
      <c r="G9" s="36"/>
      <c r="H9" s="36"/>
      <c r="I9" s="35"/>
      <c r="J9" s="18"/>
      <c r="K9" s="18"/>
    </row>
    <row r="10" spans="1:11" x14ac:dyDescent="0.2">
      <c r="A10" s="18"/>
      <c r="B10" s="33"/>
      <c r="C10" s="33"/>
      <c r="D10" s="33"/>
      <c r="E10" s="18"/>
      <c r="F10" s="27" t="s">
        <v>38</v>
      </c>
      <c r="G10" s="23">
        <v>55780</v>
      </c>
      <c r="H10" s="27" t="s">
        <v>35</v>
      </c>
      <c r="I10" s="23">
        <v>1500</v>
      </c>
      <c r="J10" s="18"/>
      <c r="K10" s="18"/>
    </row>
    <row r="11" spans="1:11" x14ac:dyDescent="0.2">
      <c r="A11" s="18"/>
      <c r="B11" s="33"/>
      <c r="C11" s="33"/>
      <c r="D11" s="33"/>
      <c r="E11" s="18"/>
      <c r="F11" s="27" t="s">
        <v>34</v>
      </c>
      <c r="G11" s="23">
        <v>5125</v>
      </c>
      <c r="H11" s="27" t="s">
        <v>36</v>
      </c>
      <c r="I11" s="23">
        <v>8927</v>
      </c>
      <c r="J11" s="18"/>
      <c r="K11" s="18"/>
    </row>
    <row r="12" spans="1:11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1" x14ac:dyDescent="0.2">
      <c r="A14" s="18"/>
      <c r="B14" s="26" t="s">
        <v>32</v>
      </c>
      <c r="C14" s="26" t="s">
        <v>31</v>
      </c>
      <c r="D14" s="26" t="s">
        <v>33</v>
      </c>
      <c r="E14" s="26" t="s">
        <v>37</v>
      </c>
      <c r="F14" s="26" t="str">
        <f>"Flete "&amp;TEXT(IF(E19&gt;0,F19/E19,0),"0.00%")</f>
        <v>Flete 9.19%</v>
      </c>
      <c r="G14" s="26" t="str">
        <f>"Gastos "&amp;TEXT(IF(E19&gt;0,G19/E19,0),"0.00%")</f>
        <v>Gastos 2.69%</v>
      </c>
      <c r="H14" s="26" t="str">
        <f>"DAI "&amp;TEXT(IF(E19&gt;0,H19/E19,0),"0.00%")</f>
        <v>DAI 16.00%</v>
      </c>
      <c r="I14" s="26" t="s">
        <v>47</v>
      </c>
      <c r="J14" s="18"/>
      <c r="K14" s="18"/>
    </row>
    <row r="15" spans="1:11" ht="16" customHeight="1" x14ac:dyDescent="0.2">
      <c r="A15" s="18"/>
      <c r="B15" s="19" t="s">
        <v>42</v>
      </c>
      <c r="C15" s="19" t="s">
        <v>43</v>
      </c>
      <c r="D15" s="19">
        <v>1</v>
      </c>
      <c r="E15" s="20">
        <v>50000</v>
      </c>
      <c r="F15" s="21">
        <f>$E15*IF($G$10&gt;0,$G$11/$G$10,0)</f>
        <v>4593.9404804589458</v>
      </c>
      <c r="G15" s="21">
        <f>$E15*IF($G$10&gt;0,$I$10/$G$10,0)</f>
        <v>1344.5679455001793</v>
      </c>
      <c r="H15" s="21">
        <f>$E15*IF($G$10&gt;0,$I$11/$G$10,0)</f>
        <v>8001.9720329867332</v>
      </c>
      <c r="I15" s="30">
        <f>SUM(E15:H15)</f>
        <v>63940.480458945858</v>
      </c>
      <c r="J15" s="18"/>
      <c r="K15" s="18"/>
    </row>
    <row r="16" spans="1:11" x14ac:dyDescent="0.2">
      <c r="A16" s="18"/>
      <c r="B16" s="19" t="s">
        <v>49</v>
      </c>
      <c r="C16" s="19" t="s">
        <v>48</v>
      </c>
      <c r="D16" s="19">
        <v>1</v>
      </c>
      <c r="E16" s="20">
        <v>5780</v>
      </c>
      <c r="F16" s="21">
        <f t="shared" ref="F16:F18" si="0">$E16*IF($G$10&gt;0,$G$11/$G$10,0)</f>
        <v>531.05951954105421</v>
      </c>
      <c r="G16" s="21">
        <f t="shared" ref="G16:G18" si="1">$E16*IF($G$10&gt;0,$I$10/$G$10,0)</f>
        <v>155.43205449982074</v>
      </c>
      <c r="H16" s="21">
        <f t="shared" ref="H16:H18" si="2">$E16*IF($G$10&gt;0,$I$11/$G$10,0)</f>
        <v>925.02796701326633</v>
      </c>
      <c r="I16" s="30">
        <f t="shared" ref="I16:I17" si="3">SUM(E16:H16)</f>
        <v>7391.5195410541419</v>
      </c>
      <c r="J16" s="18"/>
      <c r="K16" s="18"/>
    </row>
    <row r="17" spans="1:11" x14ac:dyDescent="0.2">
      <c r="A17" s="18"/>
      <c r="B17" s="19"/>
      <c r="C17" s="19"/>
      <c r="D17" s="19"/>
      <c r="E17" s="20"/>
      <c r="F17" s="21">
        <f t="shared" si="0"/>
        <v>0</v>
      </c>
      <c r="G17" s="21">
        <f t="shared" si="1"/>
        <v>0</v>
      </c>
      <c r="H17" s="21">
        <f t="shared" si="2"/>
        <v>0</v>
      </c>
      <c r="I17" s="30">
        <f t="shared" si="3"/>
        <v>0</v>
      </c>
      <c r="J17" s="18"/>
      <c r="K17" s="18"/>
    </row>
    <row r="18" spans="1:11" x14ac:dyDescent="0.2">
      <c r="A18" s="18"/>
      <c r="B18" s="19"/>
      <c r="C18" s="19"/>
      <c r="D18" s="19"/>
      <c r="E18" s="20"/>
      <c r="F18" s="21">
        <f t="shared" si="0"/>
        <v>0</v>
      </c>
      <c r="G18" s="21">
        <f t="shared" si="1"/>
        <v>0</v>
      </c>
      <c r="H18" s="21">
        <f t="shared" si="2"/>
        <v>0</v>
      </c>
      <c r="I18" s="30">
        <f t="shared" ref="I18" si="4">SUM(E18:H18)</f>
        <v>0</v>
      </c>
      <c r="J18" s="18"/>
      <c r="K18" s="18"/>
    </row>
    <row r="19" spans="1:11" x14ac:dyDescent="0.2">
      <c r="A19" s="18"/>
      <c r="B19" s="18"/>
      <c r="C19" s="28" t="s">
        <v>45</v>
      </c>
      <c r="D19" s="29">
        <f>SUM(D15:D18)</f>
        <v>2</v>
      </c>
      <c r="E19" s="30">
        <f>SUM(E15:E18)</f>
        <v>55780</v>
      </c>
      <c r="F19" s="30">
        <f t="shared" ref="F19:I19" si="5">SUM(F15:F18)</f>
        <v>5125</v>
      </c>
      <c r="G19" s="30">
        <f t="shared" si="5"/>
        <v>1500</v>
      </c>
      <c r="H19" s="30">
        <f t="shared" si="5"/>
        <v>8927</v>
      </c>
      <c r="I19" s="30">
        <f t="shared" si="5"/>
        <v>71332</v>
      </c>
      <c r="J19" s="18"/>
      <c r="K19" s="18"/>
    </row>
    <row r="20" spans="1:1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</sheetData>
  <mergeCells count="4">
    <mergeCell ref="B2:D11"/>
    <mergeCell ref="F5:G5"/>
    <mergeCell ref="H5:I5"/>
    <mergeCell ref="F9:I9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184A-8CC2-404F-A4E3-D60BD7F174F2}">
  <dimension ref="A1:P29"/>
  <sheetViews>
    <sheetView zoomScale="170" zoomScaleNormal="170" workbookViewId="0">
      <selection activeCell="D9" sqref="D9:D18"/>
    </sheetView>
  </sheetViews>
  <sheetFormatPr baseColWidth="10" defaultRowHeight="16" x14ac:dyDescent="0.2"/>
  <cols>
    <col min="3" max="3" width="40.5" bestFit="1" customWidth="1"/>
    <col min="4" max="4" width="11.5" bestFit="1" customWidth="1"/>
    <col min="7" max="7" width="11.5" bestFit="1" customWidth="1"/>
    <col min="9" max="9" width="11.5" bestFit="1" customWidth="1"/>
    <col min="12" max="12" width="11.5" bestFit="1" customWidth="1"/>
    <col min="14" max="14" width="11.5" bestFit="1" customWidth="1"/>
    <col min="17" max="17" width="11.5" bestFit="1" customWidth="1"/>
    <col min="19" max="19" width="11.5" bestFit="1" customWidth="1"/>
    <col min="22" max="22" width="14.5" customWidth="1"/>
    <col min="23" max="23" width="11.5" bestFit="1" customWidth="1"/>
  </cols>
  <sheetData>
    <row r="1" spans="1:16" ht="17" thickBo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7" thickBot="1" x14ac:dyDescent="0.25">
      <c r="A2" s="18"/>
      <c r="B2" s="15"/>
      <c r="C2" s="16" t="s">
        <v>23</v>
      </c>
      <c r="D2" s="17"/>
      <c r="E2" s="18"/>
      <c r="F2" s="5" t="s">
        <v>1</v>
      </c>
      <c r="G2" s="13">
        <v>0.15</v>
      </c>
      <c r="H2" s="6" t="s">
        <v>9</v>
      </c>
      <c r="I2" s="7">
        <f>SUM(D4:D6)</f>
        <v>62155</v>
      </c>
      <c r="J2" s="18"/>
      <c r="K2" s="18"/>
      <c r="L2" s="18"/>
      <c r="M2" s="18"/>
      <c r="N2" s="18"/>
      <c r="O2" s="18"/>
      <c r="P2" s="18"/>
    </row>
    <row r="3" spans="1:16" x14ac:dyDescent="0.2">
      <c r="A3" s="18"/>
      <c r="B3" s="14" t="s">
        <v>17</v>
      </c>
      <c r="C3" s="14" t="s">
        <v>24</v>
      </c>
      <c r="D3" s="14" t="s">
        <v>22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17" thickBot="1" x14ac:dyDescent="0.25">
      <c r="A4" s="18"/>
      <c r="B4" s="1">
        <v>45839</v>
      </c>
      <c r="C4" t="s">
        <v>3</v>
      </c>
      <c r="D4" s="2">
        <v>55780</v>
      </c>
      <c r="E4" s="18"/>
      <c r="F4" s="37" t="s">
        <v>18</v>
      </c>
      <c r="G4" s="37"/>
      <c r="H4" s="37"/>
      <c r="I4" s="37"/>
      <c r="J4" s="18"/>
      <c r="K4" s="37" t="s">
        <v>20</v>
      </c>
      <c r="L4" s="37"/>
      <c r="M4" s="37"/>
      <c r="N4" s="37"/>
      <c r="O4" s="18"/>
      <c r="P4" s="18"/>
    </row>
    <row r="5" spans="1:16" x14ac:dyDescent="0.2">
      <c r="A5" s="18"/>
      <c r="B5" s="1">
        <v>45840</v>
      </c>
      <c r="C5" t="s">
        <v>7</v>
      </c>
      <c r="D5" s="2">
        <v>1250</v>
      </c>
      <c r="E5" s="18"/>
      <c r="F5" s="6"/>
      <c r="G5" s="3"/>
      <c r="H5" s="9">
        <v>45839</v>
      </c>
      <c r="I5" s="7">
        <v>55780</v>
      </c>
      <c r="J5" s="18"/>
      <c r="K5" s="9">
        <v>45839</v>
      </c>
      <c r="L5" s="7">
        <v>55780</v>
      </c>
      <c r="M5" s="9"/>
      <c r="N5" s="7"/>
      <c r="O5" s="18"/>
      <c r="P5" s="18"/>
    </row>
    <row r="6" spans="1:16" x14ac:dyDescent="0.2">
      <c r="A6" s="18"/>
      <c r="B6" s="1">
        <v>45841</v>
      </c>
      <c r="C6" t="s">
        <v>2</v>
      </c>
      <c r="D6" s="2">
        <v>5125</v>
      </c>
      <c r="E6" s="18"/>
      <c r="F6" s="5"/>
      <c r="G6" s="4"/>
      <c r="H6" s="10">
        <v>45840</v>
      </c>
      <c r="I6" s="8">
        <v>1250</v>
      </c>
      <c r="J6" s="18"/>
      <c r="K6" s="10">
        <v>45840</v>
      </c>
      <c r="L6" s="8">
        <v>1250</v>
      </c>
      <c r="M6" s="10"/>
      <c r="N6" s="8"/>
      <c r="O6" s="18"/>
      <c r="P6" s="18"/>
    </row>
    <row r="7" spans="1:16" x14ac:dyDescent="0.2">
      <c r="A7" s="18"/>
      <c r="B7" s="1">
        <v>45842</v>
      </c>
      <c r="C7" t="s">
        <v>0</v>
      </c>
      <c r="D7" s="2">
        <v>8927</v>
      </c>
      <c r="E7" s="18"/>
      <c r="F7" s="6"/>
      <c r="G7" s="3"/>
      <c r="H7" s="11">
        <v>45841</v>
      </c>
      <c r="I7" s="7">
        <v>5125</v>
      </c>
      <c r="J7" s="18"/>
      <c r="K7" s="11">
        <v>45841</v>
      </c>
      <c r="L7" s="7">
        <v>5125</v>
      </c>
      <c r="M7" s="11"/>
      <c r="N7" s="7"/>
      <c r="O7" s="18"/>
      <c r="P7" s="18"/>
    </row>
    <row r="8" spans="1:16" x14ac:dyDescent="0.2">
      <c r="A8" s="18"/>
      <c r="B8" s="1">
        <v>45843</v>
      </c>
      <c r="C8" t="s">
        <v>8</v>
      </c>
      <c r="D8" s="31">
        <f>D4*G2</f>
        <v>8367</v>
      </c>
      <c r="E8" s="18"/>
      <c r="F8" s="5"/>
      <c r="G8" s="4"/>
      <c r="H8" s="10">
        <v>45842</v>
      </c>
      <c r="I8" s="8">
        <v>8927</v>
      </c>
      <c r="J8" s="18"/>
      <c r="K8" s="10">
        <v>45842</v>
      </c>
      <c r="L8" s="8">
        <v>8927</v>
      </c>
      <c r="M8" s="10"/>
      <c r="N8" s="8"/>
      <c r="O8" s="18"/>
      <c r="P8" s="18"/>
    </row>
    <row r="9" spans="1:16" x14ac:dyDescent="0.2">
      <c r="A9" s="18"/>
      <c r="B9" s="1">
        <v>45844</v>
      </c>
      <c r="C9" t="s">
        <v>4</v>
      </c>
      <c r="D9" s="2">
        <v>250</v>
      </c>
      <c r="E9" s="18"/>
      <c r="F9" s="6"/>
      <c r="G9" s="3"/>
      <c r="H9" s="10">
        <v>45844</v>
      </c>
      <c r="I9" s="8">
        <v>250</v>
      </c>
      <c r="J9" s="18"/>
      <c r="K9" s="10">
        <v>45844</v>
      </c>
      <c r="L9" s="8">
        <v>250</v>
      </c>
      <c r="M9" s="10"/>
      <c r="N9" s="8"/>
      <c r="O9" s="18"/>
      <c r="P9" s="18"/>
    </row>
    <row r="10" spans="1:16" x14ac:dyDescent="0.2">
      <c r="A10" s="18"/>
      <c r="B10" s="1">
        <v>45845</v>
      </c>
      <c r="C10" t="s">
        <v>5</v>
      </c>
      <c r="D10" s="2">
        <v>5</v>
      </c>
      <c r="E10" s="18"/>
      <c r="F10" s="5"/>
      <c r="G10" s="4"/>
      <c r="H10" s="11">
        <v>45845</v>
      </c>
      <c r="I10" s="7">
        <v>5</v>
      </c>
      <c r="J10" s="18"/>
      <c r="K10" s="11">
        <v>45845</v>
      </c>
      <c r="L10" s="7">
        <v>5</v>
      </c>
      <c r="M10" s="11"/>
      <c r="N10" s="7"/>
      <c r="O10" s="18"/>
      <c r="P10" s="18"/>
    </row>
    <row r="11" spans="1:16" x14ac:dyDescent="0.2">
      <c r="A11" s="18"/>
      <c r="B11" s="1">
        <v>45846</v>
      </c>
      <c r="C11" t="s">
        <v>6</v>
      </c>
      <c r="D11" s="2">
        <v>40</v>
      </c>
      <c r="E11" s="18"/>
      <c r="F11" s="6"/>
      <c r="G11" s="3"/>
      <c r="H11" s="10">
        <v>45846</v>
      </c>
      <c r="I11" s="8">
        <v>40</v>
      </c>
      <c r="J11" s="18"/>
      <c r="K11" s="10">
        <v>45846</v>
      </c>
      <c r="L11" s="8">
        <v>40</v>
      </c>
      <c r="M11" s="10"/>
      <c r="N11" s="8"/>
      <c r="O11" s="18"/>
      <c r="P11" s="18"/>
    </row>
    <row r="12" spans="1:16" x14ac:dyDescent="0.2">
      <c r="A12" s="18"/>
      <c r="B12" s="1">
        <v>45847</v>
      </c>
      <c r="C12" t="s">
        <v>11</v>
      </c>
      <c r="D12" s="2">
        <v>90</v>
      </c>
      <c r="E12" s="18"/>
      <c r="F12" s="5"/>
      <c r="G12" s="4"/>
      <c r="H12" s="11">
        <v>45847</v>
      </c>
      <c r="I12" s="7">
        <v>90</v>
      </c>
      <c r="J12" s="18"/>
      <c r="K12" s="11">
        <v>45847</v>
      </c>
      <c r="L12" s="7">
        <v>90</v>
      </c>
      <c r="M12" s="11"/>
      <c r="N12" s="7"/>
      <c r="O12" s="18"/>
      <c r="P12" s="18"/>
    </row>
    <row r="13" spans="1:16" x14ac:dyDescent="0.2">
      <c r="A13" s="18"/>
      <c r="B13" s="1">
        <v>45911</v>
      </c>
      <c r="C13" t="s">
        <v>10</v>
      </c>
      <c r="D13" s="2">
        <v>300</v>
      </c>
      <c r="E13" s="18"/>
      <c r="F13" s="6"/>
      <c r="G13" s="3"/>
      <c r="H13" s="10">
        <v>45911</v>
      </c>
      <c r="I13" s="8">
        <v>300</v>
      </c>
      <c r="J13" s="18"/>
      <c r="K13" s="10">
        <v>45911</v>
      </c>
      <c r="L13" s="8">
        <v>300</v>
      </c>
      <c r="M13" s="10"/>
      <c r="N13" s="8"/>
      <c r="O13" s="18"/>
      <c r="P13" s="18"/>
    </row>
    <row r="14" spans="1:16" x14ac:dyDescent="0.2">
      <c r="A14" s="18"/>
      <c r="B14" s="1">
        <v>45911</v>
      </c>
      <c r="C14" t="s">
        <v>12</v>
      </c>
      <c r="D14" s="2">
        <v>50</v>
      </c>
      <c r="E14" s="18"/>
      <c r="F14" s="5"/>
      <c r="G14" s="4"/>
      <c r="H14" s="11">
        <v>45911</v>
      </c>
      <c r="I14" s="7">
        <v>50</v>
      </c>
      <c r="J14" s="18"/>
      <c r="K14" s="11">
        <v>45911</v>
      </c>
      <c r="L14" s="7">
        <v>50</v>
      </c>
      <c r="M14" s="11"/>
      <c r="N14" s="7"/>
      <c r="O14" s="18"/>
      <c r="P14" s="18"/>
    </row>
    <row r="15" spans="1:16" x14ac:dyDescent="0.2">
      <c r="A15" s="18"/>
      <c r="B15" s="1">
        <v>45912</v>
      </c>
      <c r="C15" t="s">
        <v>13</v>
      </c>
      <c r="D15" s="2">
        <v>500</v>
      </c>
      <c r="E15" s="18"/>
      <c r="F15" s="6"/>
      <c r="G15" s="3"/>
      <c r="H15" s="10">
        <v>45912</v>
      </c>
      <c r="I15" s="8">
        <v>500</v>
      </c>
      <c r="J15" s="18"/>
      <c r="K15" s="10">
        <v>45912</v>
      </c>
      <c r="L15" s="8">
        <v>500</v>
      </c>
      <c r="M15" s="10"/>
      <c r="N15" s="8"/>
      <c r="O15" s="18"/>
      <c r="P15" s="18"/>
    </row>
    <row r="16" spans="1:16" x14ac:dyDescent="0.2">
      <c r="A16" s="18"/>
      <c r="B16" s="1">
        <v>45917</v>
      </c>
      <c r="C16" t="s">
        <v>14</v>
      </c>
      <c r="D16" s="2">
        <v>120</v>
      </c>
      <c r="E16" s="18"/>
      <c r="F16" s="5"/>
      <c r="G16" s="4"/>
      <c r="H16" s="11">
        <v>45917</v>
      </c>
      <c r="I16" s="7">
        <v>120</v>
      </c>
      <c r="J16" s="18"/>
      <c r="K16" s="11">
        <v>45917</v>
      </c>
      <c r="L16" s="7">
        <v>120</v>
      </c>
      <c r="M16" s="11"/>
      <c r="N16" s="7"/>
      <c r="O16" s="18"/>
      <c r="P16" s="18"/>
    </row>
    <row r="17" spans="1:16" x14ac:dyDescent="0.2">
      <c r="A17" s="18"/>
      <c r="B17" s="1">
        <v>45917</v>
      </c>
      <c r="C17" t="s">
        <v>15</v>
      </c>
      <c r="D17" s="2">
        <v>120</v>
      </c>
      <c r="E17" s="18"/>
      <c r="F17" s="6"/>
      <c r="G17" s="3"/>
      <c r="H17" s="10">
        <v>45917</v>
      </c>
      <c r="I17" s="8">
        <v>120</v>
      </c>
      <c r="J17" s="18"/>
      <c r="K17" s="10">
        <v>45917</v>
      </c>
      <c r="L17" s="8">
        <v>120</v>
      </c>
      <c r="M17" s="10"/>
      <c r="N17" s="8"/>
      <c r="O17" s="18"/>
      <c r="P17" s="18"/>
    </row>
    <row r="18" spans="1:16" x14ac:dyDescent="0.2">
      <c r="A18" s="18"/>
      <c r="B18" s="1">
        <v>45917</v>
      </c>
      <c r="C18" t="s">
        <v>16</v>
      </c>
      <c r="D18" s="2">
        <v>25</v>
      </c>
      <c r="E18" s="18"/>
      <c r="F18" s="5"/>
      <c r="G18" s="4"/>
      <c r="H18" s="11">
        <v>45917</v>
      </c>
      <c r="I18" s="7">
        <v>25</v>
      </c>
      <c r="J18" s="18"/>
      <c r="K18" s="11">
        <v>45917</v>
      </c>
      <c r="L18" s="7">
        <v>25</v>
      </c>
      <c r="M18" s="11"/>
      <c r="N18" s="7"/>
      <c r="O18" s="18"/>
      <c r="P18" s="18"/>
    </row>
    <row r="19" spans="1:16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spans="1:16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ht="17" thickBot="1" x14ac:dyDescent="0.25">
      <c r="A21" s="18"/>
      <c r="B21" s="18"/>
      <c r="C21" s="18"/>
      <c r="D21" s="18"/>
      <c r="E21" s="18"/>
      <c r="F21" s="37" t="s">
        <v>19</v>
      </c>
      <c r="G21" s="37"/>
      <c r="H21" s="37"/>
      <c r="I21" s="37"/>
      <c r="J21" s="18"/>
      <c r="K21" s="37" t="s">
        <v>21</v>
      </c>
      <c r="L21" s="37"/>
      <c r="M21" s="37"/>
      <c r="N21" s="37"/>
      <c r="O21" s="18"/>
      <c r="P21" s="18"/>
    </row>
    <row r="22" spans="1:16" x14ac:dyDescent="0.2">
      <c r="A22" s="18"/>
      <c r="B22" s="18"/>
      <c r="C22" s="18"/>
      <c r="D22" s="18"/>
      <c r="E22" s="18"/>
      <c r="F22" s="6">
        <v>45843</v>
      </c>
      <c r="G22" s="32">
        <v>8367</v>
      </c>
      <c r="H22" s="9"/>
      <c r="I22" s="7"/>
      <c r="J22" s="18"/>
      <c r="K22" s="11">
        <v>45917</v>
      </c>
      <c r="L22" s="12">
        <f>SUM(L5:L18)</f>
        <v>72582</v>
      </c>
      <c r="M22" s="12"/>
      <c r="N22" s="7"/>
      <c r="O22" s="18"/>
      <c r="P22" s="18"/>
    </row>
    <row r="23" spans="1:16" x14ac:dyDescent="0.2">
      <c r="A23" s="18"/>
      <c r="B23" s="18"/>
      <c r="C23" s="18"/>
      <c r="D23" s="18"/>
      <c r="E23" s="18"/>
      <c r="F23" s="5"/>
      <c r="G23" s="4"/>
      <c r="H23" s="10"/>
      <c r="I23" s="8"/>
      <c r="J23" s="18"/>
      <c r="K23" s="5"/>
      <c r="L23" s="4"/>
      <c r="M23" s="10"/>
      <c r="N23" s="8"/>
      <c r="O23" s="18"/>
      <c r="P23" s="18"/>
    </row>
    <row r="24" spans="1:16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</sheetData>
  <mergeCells count="4">
    <mergeCell ref="K21:N21"/>
    <mergeCell ref="K4:N4"/>
    <mergeCell ref="F4:I4"/>
    <mergeCell ref="F21:I21"/>
  </mergeCells>
  <pageMargins left="0.7" right="0.7" top="0.75" bottom="0.75" header="0.3" footer="0.3"/>
  <pageSetup orientation="portrait" horizontalDpi="0" verticalDpi="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Retaceo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Guevara</dc:creator>
  <cp:lastModifiedBy>Jaime Guevara</cp:lastModifiedBy>
  <dcterms:created xsi:type="dcterms:W3CDTF">2025-09-17T22:00:02Z</dcterms:created>
  <dcterms:modified xsi:type="dcterms:W3CDTF">2026-09-10T22:08:00Z</dcterms:modified>
</cp:coreProperties>
</file>